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Documents\00 Merrimack\DSE6111\Course Project\"/>
    </mc:Choice>
  </mc:AlternateContent>
  <xr:revisionPtr revIDLastSave="0" documentId="13_ncr:1_{C75EC37F-EE24-4E7C-A285-C1EE90A7F009}" xr6:coauthVersionLast="47" xr6:coauthVersionMax="47" xr10:uidLastSave="{00000000-0000-0000-0000-000000000000}"/>
  <bookViews>
    <workbookView xWindow="28680" yWindow="-120" windowWidth="29040" windowHeight="15720" xr2:uid="{16A87613-B642-4524-870C-3C9E5D661E0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2" i="1" l="1"/>
  <c r="X11" i="1"/>
  <c r="X10" i="1"/>
  <c r="X9" i="1"/>
  <c r="Z11" i="1"/>
  <c r="Z10" i="1"/>
  <c r="Z9" i="1"/>
  <c r="Z12" i="1" s="1"/>
  <c r="V11" i="1"/>
  <c r="V10" i="1"/>
  <c r="V9" i="1"/>
  <c r="V12" i="1" s="1"/>
  <c r="AE11" i="1"/>
  <c r="AE10" i="1"/>
  <c r="AE9" i="1"/>
  <c r="AE12" i="1" s="1"/>
  <c r="AC11" i="1"/>
  <c r="AC10" i="1"/>
  <c r="AC9" i="1"/>
  <c r="AC12" i="1" s="1"/>
  <c r="R11" i="1"/>
  <c r="R10" i="1"/>
  <c r="R9" i="1"/>
  <c r="R12" i="1" s="1"/>
  <c r="Q11" i="1"/>
  <c r="Q10" i="1"/>
  <c r="Q9" i="1"/>
  <c r="Q12" i="1" s="1"/>
  <c r="S11" i="1"/>
  <c r="S10" i="1"/>
  <c r="S9" i="1"/>
  <c r="S12" i="1" s="1"/>
  <c r="N11" i="1"/>
  <c r="N10" i="1"/>
  <c r="N9" i="1"/>
  <c r="N12" i="1" s="1"/>
  <c r="M11" i="1"/>
  <c r="M10" i="1"/>
  <c r="M9" i="1"/>
  <c r="M12" i="1" s="1"/>
  <c r="K11" i="1"/>
  <c r="K10" i="1"/>
  <c r="K9" i="1"/>
  <c r="K12" i="1" s="1"/>
  <c r="BA11" i="1"/>
  <c r="BA10" i="1"/>
  <c r="BA9" i="1"/>
  <c r="BA12" i="1" s="1"/>
  <c r="AZ11" i="1"/>
  <c r="AZ10" i="1"/>
  <c r="AZ9" i="1"/>
  <c r="AZ12" i="1" s="1"/>
  <c r="AY11" i="1"/>
  <c r="AY10" i="1"/>
  <c r="AY9" i="1"/>
  <c r="AY12" i="1" s="1"/>
  <c r="AX11" i="1"/>
  <c r="AX10" i="1"/>
  <c r="AX9" i="1"/>
  <c r="AX12" i="1" s="1"/>
  <c r="AW11" i="1"/>
  <c r="AW10" i="1"/>
  <c r="AW9" i="1"/>
  <c r="AW12" i="1" s="1"/>
  <c r="H11" i="1"/>
  <c r="H10" i="1"/>
  <c r="H9" i="1"/>
  <c r="H12" i="1" s="1"/>
  <c r="AD11" i="1"/>
  <c r="AD10" i="1"/>
  <c r="AD9" i="1"/>
  <c r="AD12" i="1" s="1"/>
  <c r="AF11" i="1"/>
  <c r="AF10" i="1"/>
  <c r="AF9" i="1"/>
  <c r="AF12" i="1" s="1"/>
  <c r="AB11" i="1"/>
  <c r="AB10" i="1"/>
  <c r="AB9" i="1"/>
  <c r="AB12" i="1" s="1"/>
  <c r="G11" i="1"/>
  <c r="G10" i="1"/>
  <c r="G9" i="1"/>
  <c r="G12" i="1" s="1"/>
  <c r="Y11" i="1"/>
  <c r="Y10" i="1"/>
  <c r="Y9" i="1"/>
  <c r="Y12" i="1" s="1"/>
  <c r="W11" i="1"/>
  <c r="W10" i="1"/>
  <c r="W9" i="1"/>
  <c r="W12" i="1" s="1"/>
  <c r="F11" i="1"/>
  <c r="F10" i="1"/>
  <c r="F9" i="1"/>
  <c r="F12" i="1" s="1"/>
  <c r="T11" i="1"/>
  <c r="T10" i="1"/>
  <c r="T9" i="1"/>
  <c r="T12" i="1" s="1"/>
  <c r="P11" i="1"/>
  <c r="P10" i="1"/>
  <c r="P9" i="1"/>
  <c r="P12" i="1" s="1"/>
  <c r="E11" i="1"/>
  <c r="E10" i="1"/>
  <c r="E9" i="1"/>
  <c r="E12" i="1" s="1"/>
  <c r="L11" i="1"/>
  <c r="L10" i="1"/>
  <c r="L9" i="1"/>
  <c r="L12" i="1" s="1"/>
  <c r="J11" i="1"/>
  <c r="J10" i="1"/>
  <c r="J9" i="1"/>
  <c r="J12" i="1" s="1"/>
  <c r="AK11" i="1"/>
  <c r="AK10" i="1"/>
  <c r="AK9" i="1"/>
  <c r="AK12" i="1" s="1"/>
  <c r="AO11" i="1"/>
  <c r="AO10" i="1"/>
  <c r="AO9" i="1"/>
  <c r="AO12" i="1" s="1"/>
  <c r="AN11" i="1" l="1"/>
  <c r="AN10" i="1"/>
  <c r="AN9" i="1"/>
  <c r="AN12" i="1" s="1"/>
  <c r="AU11" i="1"/>
  <c r="AT11" i="1"/>
  <c r="AS11" i="1"/>
  <c r="AR11" i="1"/>
  <c r="AU10" i="1"/>
  <c r="AT10" i="1"/>
  <c r="AS10" i="1"/>
  <c r="AR10" i="1"/>
  <c r="AU9" i="1"/>
  <c r="AU12" i="1" s="1"/>
  <c r="AT9" i="1"/>
  <c r="AT12" i="1" s="1"/>
  <c r="AS9" i="1"/>
  <c r="AS12" i="1" s="1"/>
  <c r="AR9" i="1"/>
  <c r="AR12" i="1" s="1"/>
  <c r="AP11" i="1"/>
  <c r="AM11" i="1"/>
  <c r="AP10" i="1"/>
  <c r="AM10" i="1"/>
  <c r="AP9" i="1"/>
  <c r="AP12" i="1" s="1"/>
  <c r="AM9" i="1"/>
  <c r="AM12" i="1" s="1"/>
  <c r="AJ11" i="1"/>
  <c r="AI11" i="1"/>
  <c r="AH11" i="1"/>
  <c r="AJ10" i="1"/>
  <c r="AI10" i="1"/>
  <c r="AH10" i="1"/>
  <c r="AJ9" i="1"/>
  <c r="AJ12" i="1" s="1"/>
  <c r="AI9" i="1"/>
  <c r="AI12" i="1" s="1"/>
  <c r="AH9" i="1"/>
  <c r="AH12" i="1" s="1"/>
  <c r="G11" i="2"/>
  <c r="G10" i="2"/>
  <c r="F11" i="2"/>
  <c r="E11" i="2"/>
  <c r="D11" i="2"/>
  <c r="C11" i="2"/>
  <c r="F10" i="2"/>
  <c r="E10" i="2"/>
  <c r="D10" i="2"/>
  <c r="C10" i="2"/>
  <c r="K11" i="2"/>
  <c r="J11" i="2"/>
  <c r="I11" i="2"/>
  <c r="K10" i="2"/>
  <c r="J10" i="2"/>
  <c r="I10" i="2"/>
  <c r="H11" i="2"/>
  <c r="H10" i="2"/>
  <c r="D11" i="1"/>
  <c r="D10" i="1"/>
  <c r="D9" i="1"/>
  <c r="D12" i="1" s="1"/>
</calcChain>
</file>

<file path=xl/sharedStrings.xml><?xml version="1.0" encoding="utf-8"?>
<sst xmlns="http://schemas.openxmlformats.org/spreadsheetml/2006/main" count="124" uniqueCount="68">
  <si>
    <t>Logistic</t>
  </si>
  <si>
    <t>kNN</t>
  </si>
  <si>
    <t>naïve Bayes</t>
  </si>
  <si>
    <t>random forest</t>
  </si>
  <si>
    <t>xgBoost</t>
  </si>
  <si>
    <t>Feature Importance</t>
  </si>
  <si>
    <t>data preprocessing</t>
  </si>
  <si>
    <t>recipe</t>
  </si>
  <si>
    <t>model</t>
  </si>
  <si>
    <t>workflow</t>
  </si>
  <si>
    <t>tune / cv</t>
  </si>
  <si>
    <t>plot initial model with training data</t>
  </si>
  <si>
    <t>best model</t>
  </si>
  <si>
    <t>last model</t>
  </si>
  <si>
    <t>last workflow</t>
  </si>
  <si>
    <t>last fit</t>
  </si>
  <si>
    <t>extract feature importance</t>
  </si>
  <si>
    <t>plot ROC_AUC</t>
  </si>
  <si>
    <t>calc tpr, fpr</t>
  </si>
  <si>
    <t>Y</t>
  </si>
  <si>
    <t>Y (called "tops")</t>
  </si>
  <si>
    <t>Feature Importance List</t>
  </si>
  <si>
    <t>Total_Trans_Ct</t>
  </si>
  <si>
    <t>Total_Trans_Amt</t>
  </si>
  <si>
    <t>Total_Relationship_Count</t>
  </si>
  <si>
    <t>Total_Ct_Chng_Q4_Q1</t>
  </si>
  <si>
    <t>Months_Inactive_12_mon</t>
  </si>
  <si>
    <t>Avg_Utilitzation_Ratio</t>
  </si>
  <si>
    <t>Contacts_Count_12_mon</t>
  </si>
  <si>
    <t>Months_on_book</t>
  </si>
  <si>
    <t>Total_Amt_Chng_Q4_Q1</t>
  </si>
  <si>
    <t>Order per each model:</t>
  </si>
  <si>
    <t>Total_Trans_Ct (TTC) and Total_Trans_Amt (TTA) are the most important features</t>
  </si>
  <si>
    <t>Theory: Need to verify that the  higher the TTC and TTA translates into a LOWER risk of attrition</t>
  </si>
  <si>
    <t>Threshold Used</t>
  </si>
  <si>
    <t>fn</t>
  </si>
  <si>
    <t>tn</t>
  </si>
  <si>
    <t>tp</t>
  </si>
  <si>
    <t>fp</t>
  </si>
  <si>
    <t>total</t>
  </si>
  <si>
    <t>fpr</t>
  </si>
  <si>
    <t>fpr = fp/(fp + tn)</t>
  </si>
  <si>
    <t>threshold</t>
  </si>
  <si>
    <t>tpr</t>
  </si>
  <si>
    <t>logistic - lasso regression</t>
  </si>
  <si>
    <t>Performance against null: accuracy (mean)</t>
  </si>
  <si>
    <t>Performance against null: roc_auc (mean)</t>
  </si>
  <si>
    <t>ROC_AUC plot</t>
  </si>
  <si>
    <t>model accuracy</t>
  </si>
  <si>
    <t>model roc_auc</t>
  </si>
  <si>
    <t>tpr = tp/(tp + fn)</t>
  </si>
  <si>
    <t>Full kNN</t>
  </si>
  <si>
    <t>Full Logistic</t>
  </si>
  <si>
    <t>full naïve Bayes</t>
  </si>
  <si>
    <t>Full naïve Bayes</t>
  </si>
  <si>
    <t>Full random forest</t>
  </si>
  <si>
    <t>Full xgBoost</t>
  </si>
  <si>
    <t>Count</t>
  </si>
  <si>
    <t>Feature Importance data</t>
  </si>
  <si>
    <t>Prediction</t>
  </si>
  <si>
    <t>Total_Trans_Ct Range</t>
  </si>
  <si>
    <t>10 - 91</t>
  </si>
  <si>
    <t>13 - 131</t>
  </si>
  <si>
    <t>Total_Trans_Amt Range</t>
  </si>
  <si>
    <t>857 - 18484</t>
  </si>
  <si>
    <t xml:space="preserve">644 - 10291 </t>
  </si>
  <si>
    <t>Count (matches #s above)</t>
  </si>
  <si>
    <r>
      <rPr>
        <sz val="11"/>
        <color theme="1"/>
        <rFont val="Aptos"/>
        <family val="2"/>
      </rPr>
      <t xml:space="preserve">Visual inspection supports idea that the lower the </t>
    </r>
    <r>
      <rPr>
        <sz val="11"/>
        <color rgb="FF000000"/>
        <rFont val="Aptos Narrow"/>
        <family val="2"/>
      </rPr>
      <t>Total_Trans_Ct and Total_Trans_Amt, the higher the risk of attrition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</si>
</sst>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</font>
    <font>
      <sz val="11"/>
      <color theme="1"/>
      <name val="Wingdings"/>
      <family val="2"/>
      <charset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0" fillId="0" borderId="1" xfId="0" applyFill="1" applyBorder="1"/>
    <xf numFmtId="164" fontId="0" fillId="0" borderId="1" xfId="0" applyNumberFormat="1" applyFill="1" applyBorder="1"/>
    <xf numFmtId="0" fontId="0" fillId="0" borderId="0" xfId="0" applyBorder="1"/>
    <xf numFmtId="164" fontId="0" fillId="0" borderId="0" xfId="0" applyNumberFormat="1" applyBorder="1"/>
    <xf numFmtId="0" fontId="0" fillId="2" borderId="2" xfId="0" applyFill="1" applyBorder="1"/>
    <xf numFmtId="164" fontId="0" fillId="2" borderId="2" xfId="0" applyNumberFormat="1" applyFill="1" applyBorder="1"/>
    <xf numFmtId="0" fontId="0" fillId="3" borderId="3" xfId="0" applyFill="1" applyBorder="1"/>
    <xf numFmtId="0" fontId="0" fillId="3" borderId="4" xfId="0" applyFill="1" applyBorder="1"/>
    <xf numFmtId="164" fontId="0" fillId="3" borderId="4" xfId="0" applyNumberFormat="1" applyFill="1" applyBorder="1"/>
    <xf numFmtId="0" fontId="0" fillId="3" borderId="5" xfId="0" applyFill="1" applyBorder="1"/>
    <xf numFmtId="0" fontId="0" fillId="0" borderId="2" xfId="0" applyFill="1" applyBorder="1"/>
    <xf numFmtId="164" fontId="0" fillId="0" borderId="2" xfId="0" applyNumberFormat="1" applyFill="1" applyBorder="1"/>
    <xf numFmtId="0" fontId="0" fillId="0" borderId="2" xfId="0" applyBorder="1"/>
    <xf numFmtId="0" fontId="0" fillId="0" borderId="0" xfId="0" applyFill="1" applyBorder="1"/>
    <xf numFmtId="164" fontId="0" fillId="0" borderId="0" xfId="0" applyNumberFormat="1" applyFill="1" applyBorder="1"/>
    <xf numFmtId="0" fontId="0" fillId="0" borderId="6" xfId="0" applyFill="1" applyBorder="1"/>
    <xf numFmtId="0" fontId="0" fillId="3" borderId="7" xfId="0" applyFill="1" applyBorder="1"/>
    <xf numFmtId="17" fontId="0" fillId="0" borderId="0" xfId="0" quotePrefix="1" applyNumberFormat="1"/>
    <xf numFmtId="0" fontId="0" fillId="0" borderId="0" xfId="0" quotePrefix="1"/>
    <xf numFmtId="0" fontId="0" fillId="0" borderId="0" xfId="0" quotePrefix="1" applyBorder="1"/>
    <xf numFmtId="0" fontId="4" fillId="0" borderId="0" xfId="0" applyFont="1" applyAlignment="1">
      <alignment horizontal="left" vertical="top"/>
    </xf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Font="1" applyFill="1" applyBorder="1"/>
    <xf numFmtId="164" fontId="0" fillId="0" borderId="1" xfId="0" applyNumberFormat="1" applyFont="1" applyFill="1" applyBorder="1"/>
    <xf numFmtId="0" fontId="1" fillId="0" borderId="1" xfId="0" applyFont="1" applyFill="1" applyBorder="1"/>
    <xf numFmtId="164" fontId="1" fillId="0" borderId="1" xfId="0" applyNumberFormat="1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0" fillId="3" borderId="1" xfId="0" applyFill="1" applyBorder="1"/>
    <xf numFmtId="0" fontId="1" fillId="0" borderId="0" xfId="0" applyFont="1"/>
    <xf numFmtId="0" fontId="1" fillId="0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3769-5080-4DC7-80B3-C2132BF6AEA8}">
  <dimension ref="B2:BA67"/>
  <sheetViews>
    <sheetView tabSelected="1" topLeftCell="A36" workbookViewId="0">
      <selection activeCell="I45" sqref="I45"/>
    </sheetView>
  </sheetViews>
  <sheetFormatPr defaultRowHeight="15" x14ac:dyDescent="0.25"/>
  <cols>
    <col min="2" max="2" width="40.28515625" bestFit="1" customWidth="1"/>
    <col min="3" max="3" width="3.7109375" customWidth="1"/>
    <col min="4" max="6" width="15" customWidth="1"/>
    <col min="7" max="7" width="16.85546875" bestFit="1" customWidth="1"/>
    <col min="8" max="8" width="15" customWidth="1"/>
    <col min="10" max="14" width="14.85546875" customWidth="1"/>
    <col min="15" max="15" width="17.85546875" style="8" customWidth="1"/>
    <col min="16" max="20" width="15" customWidth="1"/>
    <col min="21" max="21" width="12" style="8" customWidth="1"/>
    <col min="22" max="22" width="17.85546875" style="8" customWidth="1"/>
    <col min="23" max="25" width="17.42578125" bestFit="1" customWidth="1"/>
    <col min="26" max="26" width="17.42578125" customWidth="1"/>
    <col min="27" max="27" width="13.5703125" style="8" customWidth="1"/>
    <col min="28" max="32" width="12" customWidth="1"/>
    <col min="34" max="35" width="12" bestFit="1" customWidth="1"/>
    <col min="36" max="36" width="13.5703125" bestFit="1" customWidth="1"/>
    <col min="37" max="37" width="12" bestFit="1" customWidth="1"/>
    <col min="39" max="40" width="12" bestFit="1" customWidth="1"/>
    <col min="41" max="41" width="13.5703125" bestFit="1" customWidth="1"/>
    <col min="42" max="42" width="12" bestFit="1" customWidth="1"/>
    <col min="44" max="45" width="12" bestFit="1" customWidth="1"/>
    <col min="46" max="46" width="13.5703125" bestFit="1" customWidth="1"/>
    <col min="47" max="47" width="12" bestFit="1" customWidth="1"/>
    <col min="49" max="53" width="20.85546875" customWidth="1"/>
  </cols>
  <sheetData>
    <row r="2" spans="2:53" ht="15.75" thickBot="1" x14ac:dyDescent="0.3"/>
    <row r="3" spans="2:53" ht="15.75" thickTop="1" x14ac:dyDescent="0.25">
      <c r="B3" s="1"/>
      <c r="C3" s="1"/>
      <c r="D3" s="4" t="s">
        <v>52</v>
      </c>
      <c r="E3" s="4" t="s">
        <v>51</v>
      </c>
      <c r="F3" s="4" t="s">
        <v>54</v>
      </c>
      <c r="G3" s="10" t="s">
        <v>55</v>
      </c>
      <c r="H3" s="12" t="s">
        <v>56</v>
      </c>
      <c r="J3" s="4" t="s">
        <v>51</v>
      </c>
      <c r="K3" s="4" t="s">
        <v>51</v>
      </c>
      <c r="L3" s="4" t="s">
        <v>51</v>
      </c>
      <c r="M3" s="4" t="s">
        <v>51</v>
      </c>
      <c r="N3" s="4" t="s">
        <v>51</v>
      </c>
      <c r="O3" s="21"/>
      <c r="P3" s="27" t="s">
        <v>53</v>
      </c>
      <c r="Q3" s="4" t="s">
        <v>53</v>
      </c>
      <c r="R3" s="4" t="s">
        <v>53</v>
      </c>
      <c r="S3" s="4" t="s">
        <v>53</v>
      </c>
      <c r="T3" s="4" t="s">
        <v>53</v>
      </c>
      <c r="V3" s="4" t="s">
        <v>55</v>
      </c>
      <c r="W3" s="4" t="s">
        <v>55</v>
      </c>
      <c r="X3" s="10" t="s">
        <v>55</v>
      </c>
      <c r="Y3" s="4" t="s">
        <v>55</v>
      </c>
      <c r="Z3" s="4" t="s">
        <v>3</v>
      </c>
      <c r="AB3" s="4" t="s">
        <v>4</v>
      </c>
      <c r="AC3" s="4" t="s">
        <v>4</v>
      </c>
      <c r="AD3" s="4" t="s">
        <v>4</v>
      </c>
      <c r="AE3" s="4" t="s">
        <v>4</v>
      </c>
      <c r="AF3" s="4" t="s">
        <v>4</v>
      </c>
      <c r="AH3" s="1" t="s">
        <v>1</v>
      </c>
      <c r="AI3" s="1" t="s">
        <v>2</v>
      </c>
      <c r="AJ3" s="1" t="s">
        <v>3</v>
      </c>
      <c r="AK3" s="1" t="s">
        <v>4</v>
      </c>
      <c r="AM3" s="6" t="s">
        <v>1</v>
      </c>
      <c r="AN3" s="1" t="s">
        <v>2</v>
      </c>
      <c r="AO3" s="1" t="s">
        <v>3</v>
      </c>
      <c r="AP3" s="1" t="s">
        <v>4</v>
      </c>
      <c r="AR3" s="1" t="s">
        <v>1</v>
      </c>
      <c r="AS3" s="1" t="s">
        <v>2</v>
      </c>
      <c r="AT3" s="1" t="s">
        <v>3</v>
      </c>
      <c r="AU3" s="1" t="s">
        <v>4</v>
      </c>
      <c r="AW3" s="27" t="s">
        <v>52</v>
      </c>
      <c r="AX3" s="4" t="s">
        <v>52</v>
      </c>
      <c r="AY3" s="4" t="s">
        <v>52</v>
      </c>
      <c r="AZ3" s="4" t="s">
        <v>52</v>
      </c>
      <c r="BA3" s="4" t="s">
        <v>52</v>
      </c>
    </row>
    <row r="4" spans="2:53" x14ac:dyDescent="0.25">
      <c r="B4" s="1" t="s">
        <v>34</v>
      </c>
      <c r="C4" s="1"/>
      <c r="D4" s="4">
        <v>0.23</v>
      </c>
      <c r="E4" s="4">
        <v>0.45</v>
      </c>
      <c r="F4" s="4">
        <v>0.25</v>
      </c>
      <c r="G4" s="10">
        <v>0.6</v>
      </c>
      <c r="H4" s="13">
        <v>0.9</v>
      </c>
      <c r="J4" s="6">
        <v>0.25</v>
      </c>
      <c r="K4" s="33">
        <v>0.45</v>
      </c>
      <c r="L4" s="6">
        <v>0.6</v>
      </c>
      <c r="M4" s="31">
        <v>0.75</v>
      </c>
      <c r="N4" s="21">
        <v>0.9</v>
      </c>
      <c r="O4" s="19"/>
      <c r="P4" s="29">
        <v>0.25</v>
      </c>
      <c r="Q4" s="1">
        <v>0.45</v>
      </c>
      <c r="R4" s="1">
        <v>0.6</v>
      </c>
      <c r="S4" s="1">
        <v>0.75</v>
      </c>
      <c r="T4" s="1">
        <v>0.9</v>
      </c>
      <c r="V4" s="1">
        <v>0.2</v>
      </c>
      <c r="W4" s="16">
        <v>0.45</v>
      </c>
      <c r="X4" s="35">
        <v>0.6</v>
      </c>
      <c r="Y4" s="1">
        <v>0.75</v>
      </c>
      <c r="Z4" s="1">
        <v>0.9</v>
      </c>
      <c r="AB4" s="1">
        <v>0.25</v>
      </c>
      <c r="AC4" s="1">
        <v>0.45</v>
      </c>
      <c r="AD4" s="1">
        <v>0.6</v>
      </c>
      <c r="AE4" s="1">
        <v>0.75</v>
      </c>
      <c r="AF4" s="27">
        <v>0.9</v>
      </c>
      <c r="AH4" s="1">
        <v>0.9</v>
      </c>
      <c r="AI4" s="1">
        <v>0.9</v>
      </c>
      <c r="AJ4" s="1">
        <v>0.9</v>
      </c>
      <c r="AK4" s="1">
        <v>0.6</v>
      </c>
      <c r="AM4" s="6">
        <v>0.6</v>
      </c>
      <c r="AN4" s="1">
        <v>0.6</v>
      </c>
      <c r="AO4" s="1">
        <v>0.6</v>
      </c>
      <c r="AP4" s="1">
        <v>0.45</v>
      </c>
      <c r="AR4" s="1">
        <v>0.2</v>
      </c>
      <c r="AS4" s="1">
        <v>0.2</v>
      </c>
      <c r="AT4" s="1">
        <v>0.2</v>
      </c>
      <c r="AU4" s="1">
        <v>0.2</v>
      </c>
      <c r="AW4" s="27">
        <v>0.23</v>
      </c>
      <c r="AX4" s="6">
        <v>0.45</v>
      </c>
      <c r="AY4" s="6">
        <v>0.6</v>
      </c>
      <c r="AZ4" s="6">
        <v>0.75</v>
      </c>
      <c r="BA4" s="6">
        <v>0.9</v>
      </c>
    </row>
    <row r="5" spans="2:53" x14ac:dyDescent="0.25">
      <c r="B5" s="1" t="s">
        <v>36</v>
      </c>
      <c r="C5" s="1"/>
      <c r="D5" s="4">
        <v>2104</v>
      </c>
      <c r="E5" s="4">
        <v>2079</v>
      </c>
      <c r="F5" s="4">
        <v>2125</v>
      </c>
      <c r="G5" s="10">
        <v>2110</v>
      </c>
      <c r="H5" s="13">
        <v>2116</v>
      </c>
      <c r="J5" s="6">
        <v>1908</v>
      </c>
      <c r="K5" s="33">
        <v>2079</v>
      </c>
      <c r="L5" s="6">
        <v>2109</v>
      </c>
      <c r="M5" s="31">
        <v>2113</v>
      </c>
      <c r="N5" s="1">
        <v>2125</v>
      </c>
      <c r="O5" s="19"/>
      <c r="P5" s="29">
        <v>2125</v>
      </c>
      <c r="Q5" s="1">
        <v>2125</v>
      </c>
      <c r="R5" s="1">
        <v>2125</v>
      </c>
      <c r="S5" s="1">
        <v>2125</v>
      </c>
      <c r="T5" s="1">
        <v>2125</v>
      </c>
      <c r="V5" s="1">
        <v>2000</v>
      </c>
      <c r="W5" s="16">
        <v>2083</v>
      </c>
      <c r="X5" s="35">
        <v>2110</v>
      </c>
      <c r="Y5" s="1">
        <v>2123</v>
      </c>
      <c r="Z5" s="1">
        <v>2122</v>
      </c>
      <c r="AB5" s="1">
        <v>2078</v>
      </c>
      <c r="AC5" s="1">
        <v>2093</v>
      </c>
      <c r="AD5" s="6">
        <v>2103</v>
      </c>
      <c r="AE5" s="1">
        <v>2107</v>
      </c>
      <c r="AF5" s="27">
        <v>2116</v>
      </c>
      <c r="AH5" s="1">
        <v>2124</v>
      </c>
      <c r="AI5" s="1">
        <v>2123</v>
      </c>
      <c r="AJ5" s="1">
        <v>2122</v>
      </c>
      <c r="AK5" s="1">
        <v>2095</v>
      </c>
      <c r="AM5" s="6">
        <v>2095</v>
      </c>
      <c r="AN5" s="1">
        <v>2098</v>
      </c>
      <c r="AO5" s="1">
        <v>2096</v>
      </c>
      <c r="AP5" s="1">
        <v>2092</v>
      </c>
      <c r="AR5" s="1">
        <v>1884</v>
      </c>
      <c r="AS5" s="1">
        <v>1976</v>
      </c>
      <c r="AT5" s="1">
        <v>2000</v>
      </c>
      <c r="AU5" s="1">
        <v>2063</v>
      </c>
      <c r="AW5" s="27">
        <v>2104</v>
      </c>
      <c r="AX5" s="6">
        <v>2125</v>
      </c>
      <c r="AY5" s="6">
        <v>2125</v>
      </c>
      <c r="AZ5" s="6">
        <v>2125</v>
      </c>
      <c r="BA5" s="6">
        <v>2125</v>
      </c>
    </row>
    <row r="6" spans="2:53" x14ac:dyDescent="0.25">
      <c r="B6" s="1" t="s">
        <v>35</v>
      </c>
      <c r="C6" s="1"/>
      <c r="D6" s="4">
        <v>381</v>
      </c>
      <c r="E6" s="4">
        <v>247</v>
      </c>
      <c r="F6" s="4">
        <v>372</v>
      </c>
      <c r="G6" s="10">
        <v>132</v>
      </c>
      <c r="H6" s="13">
        <v>91</v>
      </c>
      <c r="J6" s="6">
        <v>155</v>
      </c>
      <c r="K6" s="33">
        <v>247</v>
      </c>
      <c r="L6" s="6">
        <v>333</v>
      </c>
      <c r="M6" s="31">
        <v>244</v>
      </c>
      <c r="N6" s="1">
        <v>398</v>
      </c>
      <c r="O6" s="19"/>
      <c r="P6" s="29">
        <v>372</v>
      </c>
      <c r="Q6" s="1">
        <v>382</v>
      </c>
      <c r="R6" s="1">
        <v>386</v>
      </c>
      <c r="S6" s="1">
        <v>392</v>
      </c>
      <c r="T6" s="1">
        <v>400</v>
      </c>
      <c r="V6" s="1">
        <v>22</v>
      </c>
      <c r="W6" s="16">
        <v>78</v>
      </c>
      <c r="X6" s="35">
        <v>132</v>
      </c>
      <c r="Y6" s="1">
        <v>220</v>
      </c>
      <c r="Z6" s="1">
        <v>258</v>
      </c>
      <c r="AB6" s="1">
        <v>37</v>
      </c>
      <c r="AC6" s="1">
        <v>46</v>
      </c>
      <c r="AD6" s="6">
        <v>59</v>
      </c>
      <c r="AE6" s="1">
        <v>75</v>
      </c>
      <c r="AF6" s="27">
        <v>91</v>
      </c>
      <c r="AH6" s="1">
        <v>326</v>
      </c>
      <c r="AI6" s="1">
        <v>282</v>
      </c>
      <c r="AJ6" s="1">
        <v>258</v>
      </c>
      <c r="AK6" s="1">
        <v>66</v>
      </c>
      <c r="AM6" s="6">
        <v>171</v>
      </c>
      <c r="AN6" s="1">
        <v>167</v>
      </c>
      <c r="AO6" s="1">
        <v>100</v>
      </c>
      <c r="AP6" s="1">
        <v>54</v>
      </c>
      <c r="AR6" s="1">
        <v>41</v>
      </c>
      <c r="AS6" s="1">
        <v>75</v>
      </c>
      <c r="AT6" s="1">
        <v>22</v>
      </c>
      <c r="AU6" s="1">
        <v>27</v>
      </c>
      <c r="AW6" s="27">
        <v>381</v>
      </c>
      <c r="AX6" s="6">
        <v>407</v>
      </c>
      <c r="AY6" s="6">
        <v>407</v>
      </c>
      <c r="AZ6" s="6">
        <v>407</v>
      </c>
      <c r="BA6" s="6">
        <v>407</v>
      </c>
    </row>
    <row r="7" spans="2:53" x14ac:dyDescent="0.25">
      <c r="B7" s="1" t="s">
        <v>38</v>
      </c>
      <c r="C7" s="1"/>
      <c r="D7" s="4">
        <v>21</v>
      </c>
      <c r="E7" s="4">
        <v>46</v>
      </c>
      <c r="F7" s="4">
        <v>0</v>
      </c>
      <c r="G7" s="10">
        <v>15</v>
      </c>
      <c r="H7" s="13">
        <v>9</v>
      </c>
      <c r="J7" s="6">
        <v>217</v>
      </c>
      <c r="K7" s="33">
        <v>46</v>
      </c>
      <c r="L7" s="6">
        <v>16</v>
      </c>
      <c r="M7" s="31">
        <v>12</v>
      </c>
      <c r="N7" s="1">
        <v>0</v>
      </c>
      <c r="O7" s="19"/>
      <c r="P7" s="29">
        <v>0</v>
      </c>
      <c r="Q7" s="1">
        <v>0</v>
      </c>
      <c r="R7" s="1">
        <v>0</v>
      </c>
      <c r="S7" s="1">
        <v>0</v>
      </c>
      <c r="T7" s="1">
        <v>0</v>
      </c>
      <c r="V7" s="1">
        <v>125</v>
      </c>
      <c r="W7" s="16">
        <v>42</v>
      </c>
      <c r="X7" s="35">
        <v>15</v>
      </c>
      <c r="Y7" s="1">
        <v>2</v>
      </c>
      <c r="Z7" s="1">
        <v>3</v>
      </c>
      <c r="AB7" s="1">
        <v>47</v>
      </c>
      <c r="AC7" s="1">
        <v>32</v>
      </c>
      <c r="AD7" s="6">
        <v>22</v>
      </c>
      <c r="AE7" s="1">
        <v>18</v>
      </c>
      <c r="AF7" s="27">
        <v>9</v>
      </c>
      <c r="AH7" s="1">
        <v>1</v>
      </c>
      <c r="AI7" s="1">
        <v>2</v>
      </c>
      <c r="AJ7" s="1">
        <v>3</v>
      </c>
      <c r="AK7" s="1">
        <v>30</v>
      </c>
      <c r="AM7" s="6">
        <v>30</v>
      </c>
      <c r="AN7" s="1">
        <v>27</v>
      </c>
      <c r="AO7" s="1">
        <v>29</v>
      </c>
      <c r="AP7" s="1">
        <v>33</v>
      </c>
      <c r="AR7" s="1">
        <v>241</v>
      </c>
      <c r="AS7" s="1">
        <v>149</v>
      </c>
      <c r="AT7" s="1">
        <v>125</v>
      </c>
      <c r="AU7" s="1">
        <v>62</v>
      </c>
      <c r="AW7" s="27">
        <v>21</v>
      </c>
      <c r="AX7" s="6">
        <v>0</v>
      </c>
      <c r="AY7" s="1">
        <v>0</v>
      </c>
      <c r="AZ7" s="1">
        <v>0</v>
      </c>
      <c r="BA7" s="1">
        <v>0</v>
      </c>
    </row>
    <row r="8" spans="2:53" x14ac:dyDescent="0.25">
      <c r="B8" s="1" t="s">
        <v>37</v>
      </c>
      <c r="C8" s="1"/>
      <c r="D8" s="4">
        <v>26</v>
      </c>
      <c r="E8" s="4">
        <v>160</v>
      </c>
      <c r="F8" s="4">
        <v>35</v>
      </c>
      <c r="G8" s="10">
        <v>275</v>
      </c>
      <c r="H8" s="13">
        <v>316</v>
      </c>
      <c r="J8" s="6">
        <v>252</v>
      </c>
      <c r="K8" s="33">
        <v>160</v>
      </c>
      <c r="L8" s="6">
        <v>74</v>
      </c>
      <c r="M8" s="31">
        <v>163</v>
      </c>
      <c r="N8" s="1">
        <v>9</v>
      </c>
      <c r="O8" s="19"/>
      <c r="P8" s="29">
        <v>35</v>
      </c>
      <c r="Q8" s="1">
        <v>25</v>
      </c>
      <c r="R8" s="1">
        <v>21</v>
      </c>
      <c r="S8" s="1">
        <v>15</v>
      </c>
      <c r="T8" s="1">
        <v>7</v>
      </c>
      <c r="V8" s="1">
        <v>385</v>
      </c>
      <c r="W8" s="16">
        <v>329</v>
      </c>
      <c r="X8" s="35">
        <v>275</v>
      </c>
      <c r="Y8" s="1">
        <v>187</v>
      </c>
      <c r="Z8" s="1">
        <v>149</v>
      </c>
      <c r="AB8" s="1">
        <v>370</v>
      </c>
      <c r="AC8" s="1">
        <v>361</v>
      </c>
      <c r="AD8" s="6">
        <v>348</v>
      </c>
      <c r="AE8" s="1">
        <v>332</v>
      </c>
      <c r="AF8" s="27">
        <v>316</v>
      </c>
      <c r="AH8" s="1">
        <v>81</v>
      </c>
      <c r="AI8" s="1">
        <v>125</v>
      </c>
      <c r="AJ8" s="1">
        <v>149</v>
      </c>
      <c r="AK8" s="1">
        <v>341</v>
      </c>
      <c r="AM8" s="6">
        <v>236</v>
      </c>
      <c r="AN8" s="1">
        <v>240</v>
      </c>
      <c r="AO8" s="1">
        <v>307</v>
      </c>
      <c r="AP8" s="1">
        <v>353</v>
      </c>
      <c r="AR8" s="1">
        <v>366</v>
      </c>
      <c r="AS8" s="1">
        <v>332</v>
      </c>
      <c r="AT8" s="1">
        <v>385</v>
      </c>
      <c r="AU8" s="1">
        <v>380</v>
      </c>
      <c r="AW8" s="27">
        <v>26</v>
      </c>
      <c r="AX8" s="6">
        <v>0</v>
      </c>
      <c r="AY8" s="6">
        <v>0</v>
      </c>
      <c r="AZ8" s="6">
        <v>0</v>
      </c>
      <c r="BA8" s="6">
        <v>0</v>
      </c>
    </row>
    <row r="9" spans="2:53" x14ac:dyDescent="0.25">
      <c r="B9" s="1" t="s">
        <v>39</v>
      </c>
      <c r="C9" s="1"/>
      <c r="D9" s="4">
        <f>SUM(D5:D8)</f>
        <v>2532</v>
      </c>
      <c r="E9" s="4">
        <f t="shared" ref="E9:H9" si="0">SUM(E5:E8)</f>
        <v>2532</v>
      </c>
      <c r="F9" s="4">
        <f t="shared" si="0"/>
        <v>2532</v>
      </c>
      <c r="G9" s="10">
        <f t="shared" si="0"/>
        <v>2532</v>
      </c>
      <c r="H9" s="13">
        <f t="shared" si="0"/>
        <v>2532</v>
      </c>
      <c r="J9" s="6">
        <f t="shared" ref="J9:M9" si="1">SUM(J5:J8)</f>
        <v>2532</v>
      </c>
      <c r="K9" s="33">
        <f t="shared" si="1"/>
        <v>2532</v>
      </c>
      <c r="L9" s="6">
        <f t="shared" si="1"/>
        <v>2532</v>
      </c>
      <c r="M9" s="31">
        <f t="shared" si="1"/>
        <v>2532</v>
      </c>
      <c r="N9" s="1">
        <f t="shared" ref="N9" si="2">SUM(N5:N8)</f>
        <v>2532</v>
      </c>
      <c r="O9" s="19"/>
      <c r="P9" s="29">
        <f>SUM(P5:P8)</f>
        <v>2532</v>
      </c>
      <c r="Q9" s="1">
        <f t="shared" ref="Q9:R9" si="3">SUM(Q5:Q8)</f>
        <v>2532</v>
      </c>
      <c r="R9" s="1">
        <f t="shared" si="3"/>
        <v>2532</v>
      </c>
      <c r="S9" s="1">
        <f t="shared" ref="S9" si="4">SUM(S5:S8)</f>
        <v>2532</v>
      </c>
      <c r="T9" s="1">
        <f t="shared" ref="T9" si="5">SUM(T5:T8)</f>
        <v>2532</v>
      </c>
      <c r="V9" s="1">
        <f t="shared" ref="V9" si="6">SUM(V5:V8)</f>
        <v>2532</v>
      </c>
      <c r="W9" s="16">
        <f t="shared" ref="W9:X9" si="7">SUM(W5:W8)</f>
        <v>2532</v>
      </c>
      <c r="X9" s="35">
        <f t="shared" si="7"/>
        <v>2532</v>
      </c>
      <c r="Y9" s="16">
        <f t="shared" ref="Y9:Z9" si="8">SUM(Y5:Y8)</f>
        <v>2532</v>
      </c>
      <c r="Z9" s="1">
        <f t="shared" si="8"/>
        <v>2532</v>
      </c>
      <c r="AB9" s="1">
        <f t="shared" ref="AB9:AF9" si="9">SUM(AB5:AB8)</f>
        <v>2532</v>
      </c>
      <c r="AC9" s="1">
        <f t="shared" ref="AC9" si="10">SUM(AC5:AC8)</f>
        <v>2532</v>
      </c>
      <c r="AD9" s="1">
        <f t="shared" ref="AD9:AE9" si="11">SUM(AD5:AD8)</f>
        <v>2532</v>
      </c>
      <c r="AE9" s="1">
        <f t="shared" si="11"/>
        <v>2532</v>
      </c>
      <c r="AF9" s="27">
        <f t="shared" si="9"/>
        <v>2532</v>
      </c>
      <c r="AH9" s="1">
        <f t="shared" ref="AH9:AK9" si="12">SUM(AH5:AH8)</f>
        <v>2532</v>
      </c>
      <c r="AI9" s="1">
        <f t="shared" si="12"/>
        <v>2532</v>
      </c>
      <c r="AJ9" s="1">
        <f t="shared" si="12"/>
        <v>2532</v>
      </c>
      <c r="AK9" s="1">
        <f t="shared" si="12"/>
        <v>2532</v>
      </c>
      <c r="AM9" s="6">
        <f t="shared" ref="AM9:AP9" si="13">SUM(AM5:AM8)</f>
        <v>2532</v>
      </c>
      <c r="AN9" s="1">
        <f t="shared" si="13"/>
        <v>2532</v>
      </c>
      <c r="AO9" s="1">
        <f t="shared" si="13"/>
        <v>2532</v>
      </c>
      <c r="AP9" s="1">
        <f t="shared" si="13"/>
        <v>2532</v>
      </c>
      <c r="AR9" s="1">
        <f t="shared" ref="AR9:AU9" si="14">SUM(AR5:AR8)</f>
        <v>2532</v>
      </c>
      <c r="AS9" s="1">
        <f t="shared" si="14"/>
        <v>2532</v>
      </c>
      <c r="AT9" s="1">
        <f t="shared" si="14"/>
        <v>2532</v>
      </c>
      <c r="AU9" s="1">
        <f t="shared" si="14"/>
        <v>2532</v>
      </c>
      <c r="AW9" s="27">
        <f>SUM(AW5:AW8)</f>
        <v>2532</v>
      </c>
      <c r="AX9" s="6">
        <f>SUM(AX5:AX8)</f>
        <v>2532</v>
      </c>
      <c r="AY9" s="6">
        <f>SUM(AY5:AY8)</f>
        <v>2532</v>
      </c>
      <c r="AZ9" s="6">
        <f>SUM(AZ5:AZ8)</f>
        <v>2532</v>
      </c>
      <c r="BA9" s="6">
        <f>SUM(BA5:BA8)</f>
        <v>2532</v>
      </c>
    </row>
    <row r="10" spans="2:53" x14ac:dyDescent="0.25">
      <c r="B10" s="1" t="s">
        <v>41</v>
      </c>
      <c r="C10" s="1"/>
      <c r="D10" s="5">
        <f>+D7/(+D7+D5)</f>
        <v>9.8823529411764706E-3</v>
      </c>
      <c r="E10" s="5">
        <f t="shared" ref="E10:H10" si="15">+E7/(+E7+E5)</f>
        <v>2.1647058823529412E-2</v>
      </c>
      <c r="F10" s="5">
        <f t="shared" si="15"/>
        <v>0</v>
      </c>
      <c r="G10" s="11">
        <f t="shared" si="15"/>
        <v>7.058823529411765E-3</v>
      </c>
      <c r="H10" s="14">
        <f t="shared" si="15"/>
        <v>4.2352941176470585E-3</v>
      </c>
      <c r="J10" s="7">
        <f t="shared" ref="J10:M10" si="16">+J7/(+J7+J5)</f>
        <v>0.10211764705882354</v>
      </c>
      <c r="K10" s="34">
        <f t="shared" si="16"/>
        <v>2.1647058823529412E-2</v>
      </c>
      <c r="L10" s="7">
        <f t="shared" si="16"/>
        <v>7.5294117647058826E-3</v>
      </c>
      <c r="M10" s="32">
        <f t="shared" si="16"/>
        <v>5.6470588235294121E-3</v>
      </c>
      <c r="N10" s="3">
        <f t="shared" ref="N10" si="17">+N7/(+N7+N5)</f>
        <v>0</v>
      </c>
      <c r="O10" s="20"/>
      <c r="P10" s="30">
        <f>+P7/(+P7+P5)</f>
        <v>0</v>
      </c>
      <c r="Q10" s="3">
        <f t="shared" ref="Q10:R10" si="18">+Q7/(+Q7+Q5)</f>
        <v>0</v>
      </c>
      <c r="R10" s="3">
        <f t="shared" si="18"/>
        <v>0</v>
      </c>
      <c r="S10" s="3">
        <f t="shared" ref="S10" si="19">+S7/(+S7+S5)</f>
        <v>0</v>
      </c>
      <c r="T10" s="3">
        <f t="shared" ref="T10" si="20">+T7/(+T7+T5)</f>
        <v>0</v>
      </c>
      <c r="U10" s="9"/>
      <c r="V10" s="3">
        <f t="shared" ref="V10" si="21">+V7/(+V7+V5)</f>
        <v>5.8823529411764705E-2</v>
      </c>
      <c r="W10" s="17">
        <f t="shared" ref="W10:X10" si="22">+W7/(+W7+W5)</f>
        <v>1.9764705882352941E-2</v>
      </c>
      <c r="X10" s="36">
        <f t="shared" si="22"/>
        <v>7.058823529411765E-3</v>
      </c>
      <c r="Y10" s="17">
        <f t="shared" ref="Y10:Z10" si="23">+Y7/(+Y7+Y5)</f>
        <v>9.4117647058823532E-4</v>
      </c>
      <c r="Z10" s="3">
        <f t="shared" si="23"/>
        <v>1.411764705882353E-3</v>
      </c>
      <c r="AA10" s="9"/>
      <c r="AB10" s="3">
        <f t="shared" ref="AB10:AF10" si="24">+AB7/(+AB7+AB5)</f>
        <v>2.211764705882353E-2</v>
      </c>
      <c r="AC10" s="3">
        <f t="shared" ref="AC10" si="25">+AC7/(+AC7+AC5)</f>
        <v>1.5058823529411765E-2</v>
      </c>
      <c r="AD10" s="3">
        <f t="shared" ref="AD10:AE11" si="26">+AD7/(+AD7+AD5)</f>
        <v>1.0352941176470589E-2</v>
      </c>
      <c r="AE10" s="3">
        <f t="shared" si="26"/>
        <v>8.4705882352941169E-3</v>
      </c>
      <c r="AF10" s="28">
        <f t="shared" si="24"/>
        <v>4.2352941176470585E-3</v>
      </c>
      <c r="AH10" s="3">
        <f t="shared" ref="AH10:AK10" si="27">+AH7/(+AH7+AH5)</f>
        <v>4.7058823529411766E-4</v>
      </c>
      <c r="AI10" s="3">
        <f t="shared" si="27"/>
        <v>9.4117647058823532E-4</v>
      </c>
      <c r="AJ10" s="3">
        <f t="shared" si="27"/>
        <v>1.411764705882353E-3</v>
      </c>
      <c r="AK10" s="3">
        <f t="shared" si="27"/>
        <v>1.411764705882353E-2</v>
      </c>
      <c r="AM10" s="7">
        <f t="shared" ref="AM10:AP10" si="28">+AM7/(+AM7+AM5)</f>
        <v>1.411764705882353E-2</v>
      </c>
      <c r="AN10" s="3">
        <f t="shared" si="28"/>
        <v>1.2705882352941176E-2</v>
      </c>
      <c r="AO10" s="3">
        <f t="shared" si="28"/>
        <v>1.3647058823529411E-2</v>
      </c>
      <c r="AP10" s="3">
        <f t="shared" si="28"/>
        <v>1.5529411764705882E-2</v>
      </c>
      <c r="AR10" s="3">
        <f t="shared" ref="AR10:AU10" si="29">+AR7/(+AR7+AR5)</f>
        <v>0.11341176470588235</v>
      </c>
      <c r="AS10" s="3">
        <f t="shared" si="29"/>
        <v>7.0117647058823535E-2</v>
      </c>
      <c r="AT10" s="3">
        <f t="shared" si="29"/>
        <v>5.8823529411764705E-2</v>
      </c>
      <c r="AU10" s="3">
        <f t="shared" si="29"/>
        <v>2.9176470588235293E-2</v>
      </c>
      <c r="AW10" s="28">
        <f>+AW7/(+AW7+AW5)</f>
        <v>9.8823529411764706E-3</v>
      </c>
      <c r="AX10" s="7">
        <f>+AX7/(+AX7+AX5)</f>
        <v>0</v>
      </c>
      <c r="AY10" s="7">
        <f>+AY7/(+AY7+AY5)</f>
        <v>0</v>
      </c>
      <c r="AZ10" s="7">
        <f>+AZ7/(+AZ7+AZ5)</f>
        <v>0</v>
      </c>
      <c r="BA10" s="7">
        <f>+BA7/(+BA7+BA5)</f>
        <v>0</v>
      </c>
    </row>
    <row r="11" spans="2:53" x14ac:dyDescent="0.25">
      <c r="B11" s="1" t="s">
        <v>50</v>
      </c>
      <c r="C11" s="1"/>
      <c r="D11" s="5">
        <f>+D8/(+D8+D6)</f>
        <v>6.3882063882063883E-2</v>
      </c>
      <c r="E11" s="5">
        <f t="shared" ref="E11:H11" si="30">+E8/(+E8+E6)</f>
        <v>0.3931203931203931</v>
      </c>
      <c r="F11" s="5">
        <f t="shared" si="30"/>
        <v>8.5995085995085999E-2</v>
      </c>
      <c r="G11" s="11">
        <f t="shared" si="30"/>
        <v>0.67567567567567566</v>
      </c>
      <c r="H11" s="14">
        <f t="shared" si="30"/>
        <v>0.7764127764127764</v>
      </c>
      <c r="J11" s="7">
        <f t="shared" ref="J11:M11" si="31">+J8/(+J8+J6)</f>
        <v>0.61916461916461918</v>
      </c>
      <c r="K11" s="34">
        <f t="shared" si="31"/>
        <v>0.3931203931203931</v>
      </c>
      <c r="L11" s="7">
        <f t="shared" si="31"/>
        <v>0.18181818181818182</v>
      </c>
      <c r="M11" s="32">
        <f t="shared" si="31"/>
        <v>0.40049140049140047</v>
      </c>
      <c r="N11" s="3">
        <f t="shared" ref="N11" si="32">+N8/(+N8+N6)</f>
        <v>2.2113022113022112E-2</v>
      </c>
      <c r="O11" s="20"/>
      <c r="P11" s="30">
        <f>+P8/(+P8+P6)</f>
        <v>8.5995085995085999E-2</v>
      </c>
      <c r="Q11" s="3">
        <f t="shared" ref="Q11:R11" si="33">+Q8/(+Q8+Q6)</f>
        <v>6.1425061425061427E-2</v>
      </c>
      <c r="R11" s="3">
        <f t="shared" si="33"/>
        <v>5.1597051597051594E-2</v>
      </c>
      <c r="S11" s="3">
        <f t="shared" ref="S11" si="34">+S8/(+S8+S6)</f>
        <v>3.6855036855036855E-2</v>
      </c>
      <c r="T11" s="3">
        <f t="shared" ref="T11" si="35">+T8/(+T8+T6)</f>
        <v>1.7199017199017199E-2</v>
      </c>
      <c r="U11" s="9"/>
      <c r="V11" s="3">
        <f t="shared" ref="V11" si="36">+V8/(+V8+V6)</f>
        <v>0.94594594594594594</v>
      </c>
      <c r="W11" s="17">
        <f t="shared" ref="W11:X11" si="37">+W8/(+W8+W6)</f>
        <v>0.80835380835380832</v>
      </c>
      <c r="X11" s="36">
        <f t="shared" si="37"/>
        <v>0.67567567567567566</v>
      </c>
      <c r="Y11" s="17">
        <f t="shared" ref="Y11:Z11" si="38">+Y8/(+Y8+Y6)</f>
        <v>0.45945945945945948</v>
      </c>
      <c r="Z11" s="3">
        <f t="shared" si="38"/>
        <v>0.36609336609336607</v>
      </c>
      <c r="AA11" s="9"/>
      <c r="AB11" s="3">
        <f t="shared" ref="AB11:AF11" si="39">+AB8/(+AB8+AB6)</f>
        <v>0.90909090909090906</v>
      </c>
      <c r="AC11" s="3">
        <f t="shared" ref="AC11" si="40">+AC8/(+AC8+AC6)</f>
        <v>0.88697788697788693</v>
      </c>
      <c r="AD11" s="3">
        <f t="shared" ref="AD11" si="41">+AD8/(+AD8+AD6)</f>
        <v>0.855036855036855</v>
      </c>
      <c r="AE11" s="3">
        <f t="shared" si="26"/>
        <v>0.8157248157248157</v>
      </c>
      <c r="AF11" s="28">
        <f t="shared" si="39"/>
        <v>0.7764127764127764</v>
      </c>
      <c r="AH11" s="3">
        <f t="shared" ref="AH11:AK11" si="42">+AH8/(+AH8+AH6)</f>
        <v>0.19901719901719903</v>
      </c>
      <c r="AI11" s="3">
        <f t="shared" si="42"/>
        <v>0.30712530712530711</v>
      </c>
      <c r="AJ11" s="3">
        <f t="shared" si="42"/>
        <v>0.36609336609336607</v>
      </c>
      <c r="AK11" s="3">
        <f t="shared" si="42"/>
        <v>0.83783783783783783</v>
      </c>
      <c r="AM11" s="7">
        <f t="shared" ref="AM11:AP11" si="43">+AM8/(+AM8+AM6)</f>
        <v>0.57985257985257987</v>
      </c>
      <c r="AN11" s="3">
        <f t="shared" si="43"/>
        <v>0.58968058968058967</v>
      </c>
      <c r="AO11" s="3">
        <f t="shared" si="43"/>
        <v>0.75429975429975427</v>
      </c>
      <c r="AP11" s="3">
        <f t="shared" si="43"/>
        <v>0.86732186732186733</v>
      </c>
      <c r="AR11" s="3">
        <f t="shared" ref="AR11:AU11" si="44">+AR8/(+AR8+AR6)</f>
        <v>0.89926289926289926</v>
      </c>
      <c r="AS11" s="3">
        <f t="shared" si="44"/>
        <v>0.8157248157248157</v>
      </c>
      <c r="AT11" s="3">
        <f t="shared" si="44"/>
        <v>0.94594594594594594</v>
      </c>
      <c r="AU11" s="3">
        <f t="shared" si="44"/>
        <v>0.93366093366093361</v>
      </c>
      <c r="AW11" s="28">
        <f>+AW8/(+AW8+AW6)</f>
        <v>6.3882063882063883E-2</v>
      </c>
      <c r="AX11" s="7">
        <f>+AX8/(+AX8+AX6)</f>
        <v>0</v>
      </c>
      <c r="AY11" s="7">
        <f>+AY8/(+AY8+AY6)</f>
        <v>0</v>
      </c>
      <c r="AZ11" s="7">
        <f>+AZ8/(+AZ8+AZ6)</f>
        <v>0</v>
      </c>
      <c r="BA11" s="7">
        <f>+BA8/(+BA8+BA6)</f>
        <v>0</v>
      </c>
    </row>
    <row r="12" spans="2:53" x14ac:dyDescent="0.25">
      <c r="B12" s="1" t="s">
        <v>48</v>
      </c>
      <c r="C12" s="1"/>
      <c r="D12" s="5">
        <f>(+D8+D5)/+D9</f>
        <v>0.84123222748815163</v>
      </c>
      <c r="E12" s="5">
        <f t="shared" ref="E12:H12" si="45">(+E8+E5)/+E9</f>
        <v>0.88428120063191151</v>
      </c>
      <c r="F12" s="5">
        <f t="shared" si="45"/>
        <v>0.85308056872037918</v>
      </c>
      <c r="G12" s="11">
        <f t="shared" si="45"/>
        <v>0.94194312796208535</v>
      </c>
      <c r="H12" s="14">
        <f t="shared" si="45"/>
        <v>0.96050552922590837</v>
      </c>
      <c r="J12" s="7">
        <f t="shared" ref="J12:M12" si="46">(+J8+J5)/+J9</f>
        <v>0.85308056872037918</v>
      </c>
      <c r="K12" s="34">
        <f t="shared" si="46"/>
        <v>0.88428120063191151</v>
      </c>
      <c r="L12" s="7">
        <f t="shared" si="46"/>
        <v>0.86216429699842023</v>
      </c>
      <c r="M12" s="32">
        <f t="shared" si="46"/>
        <v>0.89889415481832546</v>
      </c>
      <c r="N12" s="3">
        <f t="shared" ref="N12" si="47">(+N8+N5)/+N9</f>
        <v>0.84281200631911535</v>
      </c>
      <c r="O12" s="20"/>
      <c r="P12" s="30">
        <f>(+P8+P5)/+P9</f>
        <v>0.85308056872037918</v>
      </c>
      <c r="Q12" s="3">
        <f t="shared" ref="Q12:R12" si="48">(+Q8+Q5)/+Q9</f>
        <v>0.84913112164297</v>
      </c>
      <c r="R12" s="3">
        <f t="shared" si="48"/>
        <v>0.84755134281200628</v>
      </c>
      <c r="S12" s="3">
        <f t="shared" ref="S12" si="49">(+S8+S5)/+S9</f>
        <v>0.84518167456556081</v>
      </c>
      <c r="T12" s="3">
        <f t="shared" ref="T12" si="50">(+T8+T5)/+T9</f>
        <v>0.84202211690363349</v>
      </c>
      <c r="U12" s="9"/>
      <c r="V12" s="3">
        <f t="shared" ref="V12" si="51">(+V8+V5)/+V9</f>
        <v>0.94194312796208535</v>
      </c>
      <c r="W12" s="17">
        <f t="shared" ref="W12:X12" si="52">(+W8+W5)/+W9</f>
        <v>0.95260663507109</v>
      </c>
      <c r="X12" s="36">
        <f t="shared" si="52"/>
        <v>0.94194312796208535</v>
      </c>
      <c r="Y12" s="17">
        <f t="shared" ref="Y12:Z12" si="53">(+Y8+Y5)/+Y9</f>
        <v>0.91232227488151663</v>
      </c>
      <c r="Z12" s="3">
        <f t="shared" si="53"/>
        <v>0.89691943127962082</v>
      </c>
      <c r="AA12" s="9"/>
      <c r="AB12" s="3">
        <f t="shared" ref="AB12:AF12" si="54">(+AB8+AB5)/+AB9</f>
        <v>0.96682464454976302</v>
      </c>
      <c r="AC12" s="3">
        <f t="shared" ref="AC12" si="55">(+AC8+AC5)/+AC9</f>
        <v>0.96919431279620849</v>
      </c>
      <c r="AD12" s="3">
        <f t="shared" ref="AD12:AE12" si="56">(+AD8+AD5)/+AD9</f>
        <v>0.96800947867298581</v>
      </c>
      <c r="AE12" s="3">
        <f t="shared" si="56"/>
        <v>0.96327014218009477</v>
      </c>
      <c r="AF12" s="28">
        <f t="shared" si="54"/>
        <v>0.96050552922590837</v>
      </c>
      <c r="AH12" s="3">
        <f t="shared" ref="AH12:AJ12" si="57">(+AH8+AH5)/+AH9</f>
        <v>0.87085308056872035</v>
      </c>
      <c r="AI12" s="3">
        <f t="shared" si="57"/>
        <v>0.88783570300157977</v>
      </c>
      <c r="AJ12" s="3">
        <f t="shared" si="57"/>
        <v>0.89691943127962082</v>
      </c>
      <c r="AK12" s="3">
        <f>(+AK8+AK5)/+AK9</f>
        <v>0.96208530805687209</v>
      </c>
      <c r="AM12" s="7">
        <f t="shared" ref="AM12:AP12" si="58">(+AM8+AM5)/+AM9</f>
        <v>0.92061611374407581</v>
      </c>
      <c r="AN12" s="3">
        <f>(+AN8+AN5)/+AN9</f>
        <v>0.92338072669826221</v>
      </c>
      <c r="AO12" s="3">
        <f>(+AO8+AO5)/+AO9</f>
        <v>0.94905213270142175</v>
      </c>
      <c r="AP12" s="3">
        <f t="shared" si="58"/>
        <v>0.96563981042654023</v>
      </c>
      <c r="AR12" s="3">
        <f t="shared" ref="AR12:AU12" si="59">(+AR8+AR5)/+AR9</f>
        <v>0.88862559241706163</v>
      </c>
      <c r="AS12" s="3">
        <f t="shared" si="59"/>
        <v>0.91153238546603477</v>
      </c>
      <c r="AT12" s="3">
        <f t="shared" si="59"/>
        <v>0.94194312796208535</v>
      </c>
      <c r="AU12" s="3">
        <f t="shared" si="59"/>
        <v>0.96484992101105849</v>
      </c>
      <c r="AW12" s="28">
        <f>(+AW8+AW5)/+AW9</f>
        <v>0.84123222748815163</v>
      </c>
      <c r="AX12" s="7">
        <f>(+AX8+AX5)/+AX9</f>
        <v>0.83925750394944709</v>
      </c>
      <c r="AY12" s="7">
        <f>(+AY8+AY5)/+AY9</f>
        <v>0.83925750394944709</v>
      </c>
      <c r="AZ12" s="7">
        <f>(+AZ8+AZ5)/+AZ9</f>
        <v>0.83925750394944709</v>
      </c>
      <c r="BA12" s="7">
        <f>(+BA8+BA5)/+BA9</f>
        <v>0.83925750394944709</v>
      </c>
    </row>
    <row r="13" spans="2:53" x14ac:dyDescent="0.25">
      <c r="B13" s="1" t="s">
        <v>49</v>
      </c>
      <c r="C13" s="1"/>
      <c r="D13" s="4">
        <v>0.80300000000000005</v>
      </c>
      <c r="E13" s="4">
        <v>0.86399999999999999</v>
      </c>
      <c r="F13" s="4">
        <v>0.95199999999999996</v>
      </c>
      <c r="G13" s="10">
        <v>0.98799999999999999</v>
      </c>
      <c r="H13" s="13">
        <v>0.99099999999999999</v>
      </c>
      <c r="J13" s="6">
        <v>0.86399999999999999</v>
      </c>
      <c r="K13" s="33">
        <v>0.86399999999999999</v>
      </c>
      <c r="L13" s="6">
        <v>0.86399999999999999</v>
      </c>
      <c r="M13" s="31">
        <v>0.95299999999999996</v>
      </c>
      <c r="N13" s="1">
        <v>0.95299999999999996</v>
      </c>
      <c r="O13" s="19"/>
      <c r="P13" s="29">
        <v>0.96399999999999997</v>
      </c>
      <c r="Q13" s="1">
        <v>0.96399999999999997</v>
      </c>
      <c r="R13" s="1">
        <v>0.96399999999999997</v>
      </c>
      <c r="S13" s="1">
        <v>0.96399999999999997</v>
      </c>
      <c r="T13" s="1">
        <v>0.96399999999999997</v>
      </c>
      <c r="V13" s="1">
        <v>0.98799999999999999</v>
      </c>
      <c r="W13" s="16">
        <v>0.98799999999999999</v>
      </c>
      <c r="X13" s="35">
        <v>0.98799999999999999</v>
      </c>
      <c r="Y13" s="16">
        <v>0.98799999999999999</v>
      </c>
      <c r="Z13" s="1">
        <v>0.98799999999999999</v>
      </c>
      <c r="AB13" s="1">
        <v>0.99099999999999999</v>
      </c>
      <c r="AC13" s="1">
        <v>0.99099999999999999</v>
      </c>
      <c r="AD13" s="1">
        <v>0.99099999999999999</v>
      </c>
      <c r="AE13" s="1">
        <v>0.99099999999999999</v>
      </c>
      <c r="AF13" s="27">
        <v>0.99099999999999999</v>
      </c>
      <c r="AH13" s="1">
        <v>0.95299999999999996</v>
      </c>
      <c r="AI13" s="1">
        <v>0.95199999999999996</v>
      </c>
      <c r="AJ13" s="1">
        <v>0.98799999999999999</v>
      </c>
      <c r="AK13" s="1">
        <v>0.99099999999999999</v>
      </c>
      <c r="AM13" s="6">
        <v>0.95299999999999996</v>
      </c>
      <c r="AN13" s="1">
        <v>0.95199999999999996</v>
      </c>
      <c r="AO13" s="1">
        <v>0.98799999999999999</v>
      </c>
      <c r="AP13" s="1">
        <v>0.99099999999999999</v>
      </c>
      <c r="AR13" s="1">
        <v>0.95299999999999996</v>
      </c>
      <c r="AS13" s="1">
        <v>0.95199999999999996</v>
      </c>
      <c r="AT13" s="1">
        <v>0.98799999999999999</v>
      </c>
      <c r="AU13" s="1">
        <v>0.99099999999999999</v>
      </c>
      <c r="AW13" s="27">
        <v>0.80300000000000005</v>
      </c>
      <c r="AX13" s="6">
        <v>0.80300000000000005</v>
      </c>
      <c r="AY13" s="6">
        <v>0.80300000000000005</v>
      </c>
      <c r="AZ13" s="6">
        <v>0.80300000000000005</v>
      </c>
      <c r="BA13" s="6">
        <v>0.80300000000000005</v>
      </c>
    </row>
    <row r="14" spans="2:53" x14ac:dyDescent="0.25">
      <c r="B14" s="1" t="s">
        <v>45</v>
      </c>
      <c r="C14" s="1"/>
      <c r="D14" s="4">
        <v>0.83899999999999997</v>
      </c>
      <c r="E14" s="4">
        <v>0.83899999999999997</v>
      </c>
      <c r="F14" s="4">
        <v>0.83899999999999997</v>
      </c>
      <c r="G14" s="10">
        <v>0.83899999999999997</v>
      </c>
      <c r="H14" s="13">
        <v>0.83899999999999997</v>
      </c>
      <c r="J14" s="1">
        <v>0.83899999999999997</v>
      </c>
      <c r="K14" s="29">
        <v>0.83899999999999997</v>
      </c>
      <c r="L14" s="1">
        <v>0.83899999999999997</v>
      </c>
      <c r="M14" s="31">
        <v>0.83899999999999997</v>
      </c>
      <c r="N14" s="1">
        <v>0.83899999999999997</v>
      </c>
      <c r="P14" s="29">
        <v>0.83899999999999997</v>
      </c>
      <c r="Q14" s="1">
        <v>0.83899999999999997</v>
      </c>
      <c r="R14" s="1">
        <v>0.83899999999999997</v>
      </c>
      <c r="S14" s="1">
        <v>0.83899999999999997</v>
      </c>
      <c r="T14" s="1">
        <v>0.83899999999999997</v>
      </c>
      <c r="V14" s="1">
        <v>0.83899999999999997</v>
      </c>
      <c r="W14" s="16">
        <v>0.83899999999999997</v>
      </c>
      <c r="X14" s="35">
        <v>0.83899999999999997</v>
      </c>
      <c r="Y14" s="16">
        <v>0.83899999999999997</v>
      </c>
      <c r="Z14" s="1">
        <v>0.83899999999999997</v>
      </c>
      <c r="AB14" s="1">
        <v>0.83899999999999997</v>
      </c>
      <c r="AC14" s="1">
        <v>0.83899999999999997</v>
      </c>
      <c r="AD14" s="1">
        <v>0.83899999999999997</v>
      </c>
      <c r="AE14" s="1">
        <v>0.83899999999999997</v>
      </c>
      <c r="AF14" s="27">
        <v>0.83899999999999997</v>
      </c>
      <c r="AH14" s="1">
        <v>0.83899999999999997</v>
      </c>
      <c r="AI14" s="1">
        <v>0.83899999999999997</v>
      </c>
      <c r="AJ14" s="1">
        <v>0.83899999999999997</v>
      </c>
      <c r="AK14" s="1">
        <v>0.83899999999999997</v>
      </c>
      <c r="AM14" s="6">
        <v>0.83899999999999997</v>
      </c>
      <c r="AN14" s="1">
        <v>0.83899999999999997</v>
      </c>
      <c r="AO14" s="1">
        <v>0.83899999999999997</v>
      </c>
      <c r="AP14" s="1">
        <v>0.83899999999999997</v>
      </c>
      <c r="AR14" s="1">
        <v>0.83899999999999997</v>
      </c>
      <c r="AS14" s="1">
        <v>0.83899999999999997</v>
      </c>
      <c r="AT14" s="1">
        <v>0.83899999999999997</v>
      </c>
      <c r="AU14" s="1">
        <v>0.83899999999999997</v>
      </c>
      <c r="AW14" s="27">
        <v>0.83899999999999997</v>
      </c>
      <c r="AX14" s="6">
        <v>0.83899999999999997</v>
      </c>
      <c r="AY14" s="6">
        <v>0.83899999999999997</v>
      </c>
      <c r="AZ14" s="6">
        <v>0.83899999999999997</v>
      </c>
      <c r="BA14" s="6">
        <v>0.83899999999999997</v>
      </c>
    </row>
    <row r="15" spans="2:53" x14ac:dyDescent="0.25">
      <c r="B15" s="1" t="s">
        <v>46</v>
      </c>
      <c r="C15" s="1"/>
      <c r="D15" s="4">
        <v>0.5</v>
      </c>
      <c r="E15" s="4">
        <v>0.5</v>
      </c>
      <c r="F15" s="4">
        <v>0.5</v>
      </c>
      <c r="G15" s="10">
        <v>0.5</v>
      </c>
      <c r="H15" s="13">
        <v>0.5</v>
      </c>
      <c r="J15" s="1">
        <v>0.5</v>
      </c>
      <c r="K15" s="29">
        <v>0.5</v>
      </c>
      <c r="L15" s="1">
        <v>0.5</v>
      </c>
      <c r="M15" s="31">
        <v>0.5</v>
      </c>
      <c r="N15" s="1">
        <v>0.5</v>
      </c>
      <c r="P15" s="29">
        <v>0.5</v>
      </c>
      <c r="Q15" s="1">
        <v>0.5</v>
      </c>
      <c r="R15" s="1">
        <v>0.5</v>
      </c>
      <c r="S15" s="1">
        <v>0.5</v>
      </c>
      <c r="T15" s="1">
        <v>0.5</v>
      </c>
      <c r="V15" s="1">
        <v>0.5</v>
      </c>
      <c r="W15" s="16">
        <v>0.5</v>
      </c>
      <c r="X15" s="35">
        <v>0.5</v>
      </c>
      <c r="Y15" s="16">
        <v>0.5</v>
      </c>
      <c r="Z15" s="1">
        <v>0.5</v>
      </c>
      <c r="AB15" s="1">
        <v>0.5</v>
      </c>
      <c r="AC15" s="1">
        <v>0.5</v>
      </c>
      <c r="AD15" s="1">
        <v>0.5</v>
      </c>
      <c r="AE15" s="1">
        <v>0.5</v>
      </c>
      <c r="AF15" s="27">
        <v>0.5</v>
      </c>
      <c r="AH15" s="1">
        <v>0.5</v>
      </c>
      <c r="AI15" s="1">
        <v>0.5</v>
      </c>
      <c r="AJ15" s="1">
        <v>0.5</v>
      </c>
      <c r="AK15" s="1">
        <v>0.5</v>
      </c>
      <c r="AM15" s="6">
        <v>0.5</v>
      </c>
      <c r="AN15" s="1">
        <v>0.5</v>
      </c>
      <c r="AO15" s="1">
        <v>0.5</v>
      </c>
      <c r="AP15" s="1">
        <v>0.5</v>
      </c>
      <c r="AR15" s="1">
        <v>0.5</v>
      </c>
      <c r="AS15" s="1">
        <v>0.5</v>
      </c>
      <c r="AT15" s="1">
        <v>0.5</v>
      </c>
      <c r="AU15" s="1">
        <v>0.5</v>
      </c>
      <c r="AW15" s="27">
        <v>0.5</v>
      </c>
      <c r="AX15" s="6">
        <v>0.5</v>
      </c>
      <c r="AY15" s="6">
        <v>0.5</v>
      </c>
      <c r="AZ15" s="6">
        <v>0.5</v>
      </c>
      <c r="BA15" s="6">
        <v>0.5</v>
      </c>
    </row>
    <row r="16" spans="2:53" x14ac:dyDescent="0.25">
      <c r="B16" s="1"/>
      <c r="C16" s="1"/>
      <c r="D16" s="1"/>
      <c r="E16" s="1"/>
      <c r="F16" s="1"/>
      <c r="G16" s="18"/>
      <c r="H16" s="22"/>
      <c r="J16" s="1"/>
      <c r="K16" s="1"/>
      <c r="L16" s="1"/>
      <c r="M16" s="1"/>
      <c r="N16" s="1"/>
      <c r="P16" s="1"/>
      <c r="Q16" s="1"/>
      <c r="R16" s="1"/>
      <c r="S16" s="1"/>
      <c r="T16" s="1"/>
      <c r="V16" s="1"/>
      <c r="W16" s="1"/>
      <c r="X16" s="1"/>
      <c r="Y16" s="1"/>
      <c r="Z16" s="1"/>
      <c r="AB16" s="1"/>
      <c r="AC16" s="1"/>
      <c r="AD16" s="1"/>
      <c r="AE16" s="1"/>
      <c r="AF16" s="1"/>
      <c r="AH16" s="1"/>
      <c r="AI16" s="1"/>
      <c r="AJ16" s="1"/>
      <c r="AK16" s="1"/>
      <c r="AM16" s="1"/>
      <c r="AN16" s="1"/>
      <c r="AO16" s="1"/>
      <c r="AP16" s="1"/>
      <c r="AR16" s="1"/>
      <c r="AS16" s="1"/>
      <c r="AT16" s="1"/>
      <c r="AU16" s="1"/>
    </row>
    <row r="17" spans="2:47" x14ac:dyDescent="0.25">
      <c r="B17" s="1" t="s">
        <v>47</v>
      </c>
      <c r="C17" s="1"/>
      <c r="D17" s="1"/>
      <c r="E17" s="1"/>
      <c r="F17" s="1"/>
      <c r="G17" s="18"/>
      <c r="H17" s="13"/>
      <c r="J17" s="1"/>
      <c r="K17" s="1"/>
      <c r="L17" s="1"/>
      <c r="M17" s="1"/>
      <c r="N17" s="1"/>
      <c r="P17" s="1"/>
      <c r="Q17" s="1"/>
      <c r="R17" s="1"/>
      <c r="S17" s="1"/>
      <c r="T17" s="1"/>
      <c r="V17" s="1"/>
      <c r="W17" s="1"/>
      <c r="X17" s="1"/>
      <c r="Y17" s="1"/>
      <c r="Z17" s="1"/>
      <c r="AB17" s="1"/>
      <c r="AC17" s="1"/>
      <c r="AD17" s="1"/>
      <c r="AE17" s="1"/>
      <c r="AF17" s="1"/>
      <c r="AH17" s="1"/>
      <c r="AI17" s="1"/>
      <c r="AJ17" s="1"/>
      <c r="AK17" s="1"/>
      <c r="AM17" s="1"/>
      <c r="AN17" s="1"/>
      <c r="AO17" s="1"/>
      <c r="AP17" s="1"/>
      <c r="AR17" s="1"/>
      <c r="AS17" s="1"/>
      <c r="AT17" s="1"/>
      <c r="AU17" s="1"/>
    </row>
    <row r="18" spans="2:47" ht="15.75" thickBot="1" x14ac:dyDescent="0.3">
      <c r="B18" s="1" t="s">
        <v>5</v>
      </c>
      <c r="C18" s="1"/>
      <c r="D18" s="1"/>
      <c r="E18" s="1"/>
      <c r="F18" s="1"/>
      <c r="G18" s="18"/>
      <c r="H18" s="15"/>
      <c r="J18" s="1"/>
      <c r="K18" s="1"/>
      <c r="L18" s="1"/>
      <c r="M18" s="1"/>
      <c r="N18" s="1"/>
      <c r="P18" s="1"/>
      <c r="Q18" s="1"/>
      <c r="R18" s="1"/>
      <c r="S18" s="1"/>
      <c r="T18" s="1"/>
      <c r="V18" s="1"/>
      <c r="W18" s="1"/>
      <c r="X18" s="1"/>
      <c r="Y18" s="1"/>
      <c r="Z18" s="1"/>
      <c r="AB18" s="1"/>
      <c r="AC18" s="1"/>
      <c r="AD18" s="1"/>
      <c r="AE18" s="1"/>
      <c r="AF18" s="1"/>
      <c r="AH18" s="1"/>
      <c r="AI18" s="1"/>
      <c r="AJ18" s="1"/>
      <c r="AK18" s="1"/>
      <c r="AM18" s="1"/>
      <c r="AN18" s="1"/>
      <c r="AO18" s="1"/>
      <c r="AP18" s="1"/>
      <c r="AR18" s="1"/>
      <c r="AS18" s="1"/>
      <c r="AT18" s="1"/>
      <c r="AU18" s="1"/>
    </row>
    <row r="19" spans="2:47" ht="15.75" thickTop="1" x14ac:dyDescent="0.25"/>
    <row r="23" spans="2:47" x14ac:dyDescent="0.25">
      <c r="B23" s="1"/>
      <c r="C23" s="1"/>
      <c r="D23" s="1" t="s">
        <v>0</v>
      </c>
      <c r="E23" s="1" t="s">
        <v>1</v>
      </c>
      <c r="F23" s="1" t="s">
        <v>2</v>
      </c>
      <c r="G23" s="1" t="s">
        <v>3</v>
      </c>
      <c r="H23" s="1" t="s">
        <v>4</v>
      </c>
      <c r="AN23" s="8"/>
      <c r="AO23" s="8"/>
    </row>
    <row r="24" spans="2:47" x14ac:dyDescent="0.25">
      <c r="B24" s="1" t="s">
        <v>6</v>
      </c>
      <c r="C24" s="1"/>
      <c r="D24" s="1"/>
      <c r="E24" s="1"/>
      <c r="F24" s="1"/>
      <c r="G24" s="2" t="s">
        <v>19</v>
      </c>
      <c r="H24" s="1"/>
      <c r="AN24" s="8"/>
      <c r="AO24" s="8"/>
    </row>
    <row r="25" spans="2:47" x14ac:dyDescent="0.25">
      <c r="B25" s="1" t="s">
        <v>7</v>
      </c>
      <c r="C25" s="1"/>
      <c r="D25" s="1"/>
      <c r="E25" s="1"/>
      <c r="F25" s="1"/>
      <c r="G25" s="2" t="s">
        <v>19</v>
      </c>
      <c r="H25" s="1"/>
      <c r="AN25" s="8"/>
      <c r="AO25" s="8"/>
    </row>
    <row r="26" spans="2:47" x14ac:dyDescent="0.25">
      <c r="B26" s="1" t="s">
        <v>8</v>
      </c>
      <c r="C26" s="1"/>
      <c r="D26" s="1"/>
      <c r="E26" s="1"/>
      <c r="F26" s="1"/>
      <c r="G26" s="2" t="s">
        <v>19</v>
      </c>
      <c r="H26" s="1"/>
      <c r="AN26" s="8"/>
      <c r="AO26" s="8"/>
    </row>
    <row r="27" spans="2:47" x14ac:dyDescent="0.25">
      <c r="B27" s="1" t="s">
        <v>9</v>
      </c>
      <c r="C27" s="1"/>
      <c r="D27" s="1"/>
      <c r="E27" s="1"/>
      <c r="F27" s="1"/>
      <c r="G27" s="2" t="s">
        <v>19</v>
      </c>
      <c r="H27" s="1"/>
      <c r="AN27" s="8"/>
      <c r="AO27" s="8"/>
    </row>
    <row r="28" spans="2:47" x14ac:dyDescent="0.25">
      <c r="B28" s="1" t="s">
        <v>10</v>
      </c>
      <c r="C28" s="1"/>
      <c r="D28" s="1"/>
      <c r="E28" s="1"/>
      <c r="F28" s="1"/>
      <c r="G28" s="2" t="s">
        <v>19</v>
      </c>
      <c r="H28" s="1"/>
      <c r="AN28" s="8"/>
      <c r="AO28" s="8"/>
    </row>
    <row r="29" spans="2:47" x14ac:dyDescent="0.25">
      <c r="B29" s="1" t="s">
        <v>11</v>
      </c>
      <c r="C29" s="1"/>
      <c r="D29" s="1"/>
      <c r="E29" s="1"/>
      <c r="F29" s="1"/>
      <c r="G29" s="2" t="s">
        <v>19</v>
      </c>
      <c r="H29" s="1"/>
      <c r="AN29" s="8"/>
      <c r="AO29" s="8"/>
    </row>
    <row r="30" spans="2:47" x14ac:dyDescent="0.25">
      <c r="B30" s="1" t="s">
        <v>12</v>
      </c>
      <c r="C30" s="1"/>
      <c r="D30" s="1"/>
      <c r="E30" s="1"/>
      <c r="F30" s="1"/>
      <c r="G30" s="2" t="s">
        <v>20</v>
      </c>
      <c r="H30" s="1"/>
      <c r="AN30" s="8"/>
      <c r="AO30" s="8"/>
    </row>
    <row r="31" spans="2:47" x14ac:dyDescent="0.25">
      <c r="B31" s="1" t="s">
        <v>13</v>
      </c>
      <c r="C31" s="1"/>
      <c r="D31" s="1"/>
      <c r="E31" s="1"/>
      <c r="F31" s="1"/>
      <c r="G31" s="2" t="s">
        <v>19</v>
      </c>
      <c r="H31" s="1"/>
      <c r="AN31" s="9"/>
      <c r="AO31" s="9"/>
    </row>
    <row r="32" spans="2:47" x14ac:dyDescent="0.25">
      <c r="B32" s="1" t="s">
        <v>14</v>
      </c>
      <c r="C32" s="1"/>
      <c r="D32" s="1"/>
      <c r="E32" s="1"/>
      <c r="F32" s="1"/>
      <c r="G32" s="2" t="s">
        <v>19</v>
      </c>
      <c r="H32" s="1"/>
      <c r="AN32" s="9"/>
      <c r="AO32" s="9"/>
    </row>
    <row r="33" spans="2:41" x14ac:dyDescent="0.25">
      <c r="B33" s="1" t="s">
        <v>15</v>
      </c>
      <c r="C33" s="1"/>
      <c r="D33" s="1"/>
      <c r="E33" s="1"/>
      <c r="F33" s="1"/>
      <c r="G33" s="2" t="s">
        <v>19</v>
      </c>
      <c r="H33" s="1"/>
      <c r="AN33" s="9"/>
      <c r="AO33" s="9"/>
    </row>
    <row r="34" spans="2:41" x14ac:dyDescent="0.25">
      <c r="B34" s="1" t="s">
        <v>16</v>
      </c>
      <c r="C34" s="1"/>
      <c r="D34" s="1"/>
      <c r="E34" s="1"/>
      <c r="F34" s="1"/>
      <c r="G34" s="2" t="s">
        <v>19</v>
      </c>
      <c r="H34" s="1"/>
      <c r="AN34" s="8"/>
      <c r="AO34" s="8"/>
    </row>
    <row r="35" spans="2:41" x14ac:dyDescent="0.25">
      <c r="B35" s="1" t="s">
        <v>17</v>
      </c>
      <c r="C35" s="1"/>
      <c r="D35" s="1"/>
      <c r="E35" s="1"/>
      <c r="F35" s="1"/>
      <c r="G35" s="2" t="s">
        <v>19</v>
      </c>
      <c r="H35" s="1"/>
      <c r="AN35" s="8"/>
      <c r="AO35" s="8"/>
    </row>
    <row r="36" spans="2:41" x14ac:dyDescent="0.25">
      <c r="B36" s="1" t="s">
        <v>18</v>
      </c>
      <c r="C36" s="1"/>
      <c r="D36" s="1"/>
      <c r="E36" s="1"/>
      <c r="F36" s="1"/>
      <c r="G36" s="2" t="s">
        <v>19</v>
      </c>
      <c r="H36" s="1"/>
      <c r="AN36" s="8"/>
      <c r="AO36" s="8"/>
    </row>
    <row r="37" spans="2:41" x14ac:dyDescent="0.25">
      <c r="AN37" s="8"/>
      <c r="AO37" s="8"/>
    </row>
    <row r="38" spans="2:41" x14ac:dyDescent="0.25">
      <c r="D38" s="38" t="s">
        <v>31</v>
      </c>
    </row>
    <row r="39" spans="2:41" x14ac:dyDescent="0.25">
      <c r="B39" s="38" t="s">
        <v>21</v>
      </c>
      <c r="D39" s="29" t="s">
        <v>0</v>
      </c>
      <c r="E39" s="29" t="s">
        <v>1</v>
      </c>
      <c r="F39" s="29" t="s">
        <v>2</v>
      </c>
      <c r="G39" s="29" t="s">
        <v>3</v>
      </c>
      <c r="H39" s="29" t="s">
        <v>4</v>
      </c>
      <c r="I39" s="39" t="s">
        <v>57</v>
      </c>
    </row>
    <row r="40" spans="2:41" x14ac:dyDescent="0.25">
      <c r="B40" t="s">
        <v>22</v>
      </c>
      <c r="D40" s="37">
        <v>1</v>
      </c>
      <c r="E40" s="6"/>
      <c r="F40" s="37">
        <v>1</v>
      </c>
      <c r="G40" s="37">
        <v>2</v>
      </c>
      <c r="H40" s="37">
        <v>1</v>
      </c>
      <c r="I40">
        <v>4</v>
      </c>
    </row>
    <row r="41" spans="2:41" x14ac:dyDescent="0.25">
      <c r="B41" t="s">
        <v>23</v>
      </c>
      <c r="D41" s="37">
        <v>2</v>
      </c>
      <c r="E41" s="6"/>
      <c r="F41" s="6">
        <v>4</v>
      </c>
      <c r="G41" s="37">
        <v>1</v>
      </c>
      <c r="H41" s="37">
        <v>2</v>
      </c>
      <c r="I41">
        <v>3</v>
      </c>
    </row>
    <row r="42" spans="2:41" x14ac:dyDescent="0.25">
      <c r="B42" t="s">
        <v>25</v>
      </c>
      <c r="D42" s="6">
        <v>4</v>
      </c>
      <c r="E42" s="6"/>
      <c r="F42" s="37">
        <v>2</v>
      </c>
      <c r="G42" s="6">
        <v>3</v>
      </c>
      <c r="H42" s="6">
        <v>4</v>
      </c>
      <c r="I42">
        <v>1</v>
      </c>
    </row>
    <row r="43" spans="2:41" x14ac:dyDescent="0.25">
      <c r="B43" t="s">
        <v>27</v>
      </c>
      <c r="D43" s="6">
        <v>6</v>
      </c>
      <c r="E43" s="6"/>
      <c r="F43" s="6">
        <v>3</v>
      </c>
      <c r="G43" s="6">
        <v>4</v>
      </c>
      <c r="H43" s="6">
        <v>3</v>
      </c>
    </row>
    <row r="44" spans="2:41" x14ac:dyDescent="0.25">
      <c r="B44" t="s">
        <v>24</v>
      </c>
      <c r="D44" s="6">
        <v>3</v>
      </c>
      <c r="E44" s="6"/>
      <c r="F44" s="6">
        <v>7</v>
      </c>
      <c r="G44" s="6">
        <v>5</v>
      </c>
      <c r="H44" s="6">
        <v>5</v>
      </c>
    </row>
    <row r="45" spans="2:41" x14ac:dyDescent="0.25">
      <c r="B45" t="s">
        <v>26</v>
      </c>
      <c r="D45" s="6">
        <v>5</v>
      </c>
      <c r="E45" s="6"/>
      <c r="F45" s="6">
        <v>6</v>
      </c>
      <c r="G45" s="6">
        <v>8</v>
      </c>
      <c r="H45" s="6">
        <v>8</v>
      </c>
    </row>
    <row r="46" spans="2:41" x14ac:dyDescent="0.25">
      <c r="B46" t="s">
        <v>28</v>
      </c>
      <c r="D46" s="6">
        <v>7</v>
      </c>
      <c r="E46" s="6"/>
      <c r="F46" s="6">
        <v>5</v>
      </c>
      <c r="G46" s="6">
        <v>9</v>
      </c>
      <c r="H46" s="6">
        <v>9</v>
      </c>
    </row>
    <row r="47" spans="2:41" x14ac:dyDescent="0.25">
      <c r="B47" t="s">
        <v>29</v>
      </c>
      <c r="D47" s="6">
        <v>8</v>
      </c>
      <c r="E47" s="6"/>
      <c r="F47" s="6">
        <v>9</v>
      </c>
      <c r="G47" s="6">
        <v>7</v>
      </c>
      <c r="H47" s="6">
        <v>7</v>
      </c>
    </row>
    <row r="48" spans="2:41" x14ac:dyDescent="0.25">
      <c r="B48" t="s">
        <v>30</v>
      </c>
      <c r="D48" s="6">
        <v>9</v>
      </c>
      <c r="E48" s="6"/>
      <c r="F48" s="6">
        <v>8</v>
      </c>
      <c r="G48" s="6">
        <v>6</v>
      </c>
      <c r="H48" s="6">
        <v>6</v>
      </c>
    </row>
    <row r="51" spans="2:5" x14ac:dyDescent="0.25">
      <c r="B51" t="s">
        <v>32</v>
      </c>
    </row>
    <row r="52" spans="2:5" x14ac:dyDescent="0.25">
      <c r="B52" t="s">
        <v>33</v>
      </c>
    </row>
    <row r="58" spans="2:5" x14ac:dyDescent="0.25">
      <c r="D58" s="8"/>
    </row>
    <row r="59" spans="2:5" x14ac:dyDescent="0.25">
      <c r="D59" s="8"/>
    </row>
    <row r="60" spans="2:5" x14ac:dyDescent="0.25">
      <c r="B60" t="s">
        <v>58</v>
      </c>
      <c r="D60" s="8"/>
    </row>
    <row r="61" spans="2:5" x14ac:dyDescent="0.25">
      <c r="D61" s="8"/>
    </row>
    <row r="62" spans="2:5" x14ac:dyDescent="0.25">
      <c r="B62" t="s">
        <v>59</v>
      </c>
      <c r="C62" t="s">
        <v>60</v>
      </c>
      <c r="D62" t="s">
        <v>63</v>
      </c>
      <c r="E62" t="s">
        <v>66</v>
      </c>
    </row>
    <row r="63" spans="2:5" x14ac:dyDescent="0.25">
      <c r="B63">
        <v>0</v>
      </c>
      <c r="C63" s="24" t="s">
        <v>62</v>
      </c>
      <c r="D63" s="25" t="s">
        <v>64</v>
      </c>
      <c r="E63">
        <v>2207</v>
      </c>
    </row>
    <row r="64" spans="2:5" x14ac:dyDescent="0.25">
      <c r="B64">
        <v>1</v>
      </c>
      <c r="C64" s="23" t="s">
        <v>61</v>
      </c>
      <c r="D64" s="25" t="s">
        <v>65</v>
      </c>
      <c r="E64">
        <v>325</v>
      </c>
    </row>
    <row r="65" spans="2:4" x14ac:dyDescent="0.25">
      <c r="D65" s="8"/>
    </row>
    <row r="66" spans="2:4" x14ac:dyDescent="0.25">
      <c r="B66" s="26" t="s">
        <v>67</v>
      </c>
      <c r="D66" s="8"/>
    </row>
    <row r="67" spans="2:4" x14ac:dyDescent="0.25">
      <c r="D67" s="8"/>
    </row>
  </sheetData>
  <sortState xmlns:xlrd2="http://schemas.microsoft.com/office/spreadsheetml/2017/richdata2" ref="B40:I48">
    <sortCondition descending="1" ref="I40:I48"/>
  </sortState>
  <pageMargins left="0.25" right="0.25" top="0.75" bottom="0.75" header="0.3" footer="0.3"/>
  <pageSetup orientation="landscape" horizontalDpi="300" verticalDpi="300" r:id="rId1"/>
  <ignoredErrors>
    <ignoredError sqref="AP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0FA9-603B-439A-8BFB-8B3CC8D4BE01}">
  <dimension ref="B2:K11"/>
  <sheetViews>
    <sheetView workbookViewId="0">
      <selection activeCell="G3" sqref="G3:G8"/>
    </sheetView>
  </sheetViews>
  <sheetFormatPr defaultRowHeight="15" x14ac:dyDescent="0.25"/>
  <sheetData>
    <row r="2" spans="2:11" x14ac:dyDescent="0.25">
      <c r="B2" t="s">
        <v>44</v>
      </c>
    </row>
    <row r="3" spans="2:11" x14ac:dyDescent="0.25">
      <c r="B3" t="s">
        <v>42</v>
      </c>
      <c r="C3">
        <v>0.6</v>
      </c>
      <c r="D3">
        <v>0.4</v>
      </c>
      <c r="E3">
        <v>0.3</v>
      </c>
      <c r="F3">
        <v>0.25</v>
      </c>
      <c r="G3">
        <v>0.23</v>
      </c>
      <c r="H3">
        <v>0.2</v>
      </c>
      <c r="I3">
        <v>0.15</v>
      </c>
      <c r="J3">
        <v>0.1</v>
      </c>
      <c r="K3">
        <v>0.05</v>
      </c>
    </row>
    <row r="5" spans="2:11" x14ac:dyDescent="0.25">
      <c r="B5" t="s">
        <v>36</v>
      </c>
      <c r="C5">
        <v>2125</v>
      </c>
      <c r="D5">
        <v>2125</v>
      </c>
      <c r="E5">
        <v>2125</v>
      </c>
      <c r="F5">
        <v>2124</v>
      </c>
      <c r="G5">
        <v>2104</v>
      </c>
      <c r="H5">
        <v>1810</v>
      </c>
      <c r="I5">
        <v>1141</v>
      </c>
      <c r="J5">
        <v>99</v>
      </c>
      <c r="K5">
        <v>0</v>
      </c>
    </row>
    <row r="6" spans="2:11" x14ac:dyDescent="0.25">
      <c r="B6" t="s">
        <v>35</v>
      </c>
      <c r="C6">
        <v>407</v>
      </c>
      <c r="D6">
        <v>407</v>
      </c>
      <c r="E6">
        <v>407</v>
      </c>
      <c r="F6">
        <v>396</v>
      </c>
      <c r="G6">
        <v>381</v>
      </c>
      <c r="H6">
        <v>257</v>
      </c>
      <c r="I6">
        <v>33</v>
      </c>
      <c r="J6">
        <v>0</v>
      </c>
      <c r="K6">
        <v>0</v>
      </c>
    </row>
    <row r="7" spans="2:11" x14ac:dyDescent="0.25">
      <c r="B7" t="s">
        <v>38</v>
      </c>
      <c r="C7">
        <v>0</v>
      </c>
      <c r="D7">
        <v>0</v>
      </c>
      <c r="E7">
        <v>0</v>
      </c>
      <c r="F7">
        <v>1</v>
      </c>
      <c r="G7">
        <v>21</v>
      </c>
      <c r="H7">
        <v>315</v>
      </c>
      <c r="I7">
        <v>984</v>
      </c>
      <c r="J7">
        <v>2026</v>
      </c>
      <c r="K7">
        <v>2125</v>
      </c>
    </row>
    <row r="8" spans="2:11" x14ac:dyDescent="0.25">
      <c r="B8" t="s">
        <v>37</v>
      </c>
      <c r="C8">
        <v>0</v>
      </c>
      <c r="D8">
        <v>0</v>
      </c>
      <c r="E8">
        <v>0</v>
      </c>
      <c r="F8">
        <v>11</v>
      </c>
      <c r="G8">
        <v>26</v>
      </c>
      <c r="H8">
        <v>150</v>
      </c>
      <c r="I8">
        <v>374</v>
      </c>
      <c r="J8">
        <v>407</v>
      </c>
      <c r="K8">
        <v>407</v>
      </c>
    </row>
    <row r="10" spans="2:11" x14ac:dyDescent="0.25">
      <c r="B10" t="s">
        <v>40</v>
      </c>
      <c r="C10" s="3">
        <f t="shared" ref="C10:F10" si="0">+C7/(+C7+C5)</f>
        <v>0</v>
      </c>
      <c r="D10" s="3">
        <f t="shared" si="0"/>
        <v>0</v>
      </c>
      <c r="E10" s="3">
        <f t="shared" si="0"/>
        <v>0</v>
      </c>
      <c r="F10" s="3">
        <f t="shared" si="0"/>
        <v>4.7058823529411766E-4</v>
      </c>
      <c r="G10" s="3">
        <f t="shared" ref="G10" si="1">+G7/(+G7+G5)</f>
        <v>9.8823529411764706E-3</v>
      </c>
      <c r="H10" s="3">
        <f>+H7/(+H7+H5)</f>
        <v>0.14823529411764705</v>
      </c>
      <c r="I10" s="3">
        <f t="shared" ref="I10:K10" si="2">+I7/(+I7+I5)</f>
        <v>0.46305882352941174</v>
      </c>
      <c r="J10" s="3">
        <f t="shared" si="2"/>
        <v>0.9534117647058824</v>
      </c>
      <c r="K10" s="3">
        <f t="shared" si="2"/>
        <v>1</v>
      </c>
    </row>
    <row r="11" spans="2:11" x14ac:dyDescent="0.25">
      <c r="B11" t="s">
        <v>43</v>
      </c>
      <c r="C11" s="3">
        <f t="shared" ref="C11:F11" si="3">+C8/(+C8+C6)</f>
        <v>0</v>
      </c>
      <c r="D11" s="3">
        <f t="shared" si="3"/>
        <v>0</v>
      </c>
      <c r="E11" s="3">
        <f t="shared" si="3"/>
        <v>0</v>
      </c>
      <c r="F11" s="3">
        <f t="shared" si="3"/>
        <v>2.7027027027027029E-2</v>
      </c>
      <c r="G11" s="3">
        <f t="shared" ref="G11" si="4">+G8/(+G8+G6)</f>
        <v>6.3882063882063883E-2</v>
      </c>
      <c r="H11" s="3">
        <f>+H8/(+H8+H6)</f>
        <v>0.36855036855036855</v>
      </c>
      <c r="I11" s="3">
        <f t="shared" ref="I11:K11" si="5">+I8/(+I8+I6)</f>
        <v>0.91891891891891897</v>
      </c>
      <c r="J11" s="3">
        <f t="shared" si="5"/>
        <v>1</v>
      </c>
      <c r="K11" s="3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 Lemieux</dc:creator>
  <cp:lastModifiedBy>June Lemieux</cp:lastModifiedBy>
  <cp:lastPrinted>2024-12-05T13:57:40Z</cp:lastPrinted>
  <dcterms:created xsi:type="dcterms:W3CDTF">2024-12-05T13:48:48Z</dcterms:created>
  <dcterms:modified xsi:type="dcterms:W3CDTF">2024-12-15T23:29:34Z</dcterms:modified>
</cp:coreProperties>
</file>